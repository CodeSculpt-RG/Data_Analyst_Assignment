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<sst xmlns="http://schemas.openxmlformats.org/spreadsheetml/2006/main" count="16" uniqueCount="16">
  <si>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Column A</t>
  </si>
  <si>
    <t>Column B</t>
  </si>
  <si>
    <t>Column C</t>
  </si>
  <si>
    <t>Column D</t>
  </si>
  <si>
    <t>cms_id</t>
  </si>
  <si>
    <t>feedback_at</t>
  </si>
  <si>
    <t>feedback_rating</t>
  </si>
  <si>
    <t>ticket_created_at</t>
  </si>
  <si>
    <t>vew-iuvd-12</t>
  </si>
  <si>
    <t>q4t-r8g-13</t>
  </si>
  <si>
    <t>Summary Table</t>
  </si>
  <si>
    <t>Outlet ID</t>
  </si>
  <si>
    <t>Q2a: Created &amp; Closed Same Day</t>
  </si>
  <si>
    <t>Q2b: Created &amp; Closed Same Hour</t>
  </si>
  <si>
    <t>wrqy-juv-978</t>
  </si>
  <si>
    <t>8woh-k3u-23b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</si>
</sst>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rgb="FFF3F3F3"/>
      <name val="&quot;Google Sans Text&quot;"/>
    </font>
    <font>
      <b/>
      <color rgb="FFFFFFFF"/>
      <name val="&quot;Google Sans Text&quot;"/>
    </font>
    <font>
      <color rgb="FFFFFFFF"/>
      <name val="&quot;Google Sans Text&quot;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20124D"/>
        <bgColor rgb="FF20124D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5" fontId="4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0" fillId="6" fontId="4" numFmtId="0" xfId="0" applyFont="1"/>
    <xf borderId="0" fillId="7" fontId="2" numFmtId="0" xfId="0" applyAlignment="1" applyFill="1" applyFont="1">
      <alignment readingOrder="0"/>
    </xf>
    <xf borderId="0" fillId="7" fontId="3" numFmtId="0" xfId="0" applyFont="1"/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38"/>
    <col customWidth="1" min="3" max="3" width="30.75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4">
        <v>44429.560277777775</v>
      </c>
      <c r="C3" s="3">
        <v>3.0</v>
      </c>
      <c r="D3" s="5" t="str">
        <f t="shared" ref="D3:D4" si="1">VLOOKUP(A2, ticket!B:E, 2, FALSE)</f>
        <v>#REF!</v>
      </c>
    </row>
    <row r="4">
      <c r="A4" s="3" t="s">
        <v>9</v>
      </c>
      <c r="B4" s="4">
        <v>44429.75</v>
      </c>
      <c r="C4" s="3">
        <v>4.0</v>
      </c>
      <c r="D4" s="5" t="str">
        <f t="shared" si="1"/>
        <v>#REF!</v>
      </c>
    </row>
    <row r="7">
      <c r="A7" s="6" t="s">
        <v>10</v>
      </c>
    </row>
    <row r="8">
      <c r="A8" s="7" t="s">
        <v>11</v>
      </c>
      <c r="B8" s="7" t="s">
        <v>12</v>
      </c>
      <c r="C8" s="7" t="s">
        <v>13</v>
      </c>
      <c r="D8" s="8"/>
    </row>
    <row r="9">
      <c r="A9" s="9" t="s">
        <v>14</v>
      </c>
      <c r="B9" s="10">
        <f>COUNTIFS(ticket!D:D, "wrqy-juv-978", ticket!F:F, "Y")</f>
        <v>0</v>
      </c>
      <c r="C9" s="10">
        <f>COUNTIFS(ticket!D:D, "wrqy-juv-978", ticket!G:G, "Y")</f>
        <v>0</v>
      </c>
      <c r="D9" s="11"/>
    </row>
    <row r="10">
      <c r="A10" s="9" t="s">
        <v>15</v>
      </c>
      <c r="B10" s="10">
        <f>COUNTIFS(ticket!D:D, "8woh-k3u-23b", ticket!F:F, "Y")</f>
        <v>0</v>
      </c>
      <c r="C10" s="10">
        <f>COUNTIFS(ticket!D:D, "8woh-k3u-23b", ticket!G:G, "Y")</f>
        <v>0</v>
      </c>
      <c r="D10" s="11"/>
    </row>
  </sheetData>
  <drawing r:id="rId1"/>
</worksheet>
</file>